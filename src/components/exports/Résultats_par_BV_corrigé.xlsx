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v centralisateur" sheetId="1" state="visible" r:id="rId3"/>
    <sheet name="Résultats maurepas" sheetId="2" state="visible" r:id="rId4"/>
    <sheet name="Affiche résultats" sheetId="3" state="visible" r:id="rId5"/>
  </sheets>
  <definedNames>
    <definedName function="false" hidden="false" localSheetId="2" name="_xlnm.Print_Area" vbProcedure="false">'Affiche résultats'!$A$1:$K$19</definedName>
    <definedName function="false" hidden="false" localSheetId="0" name="_xlnm.Print_Area" vbProcedure="false">'pv centralisateur'!$A$1:$P$24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7" authorId="0">
      <text>
        <r>
          <rPr>
            <sz val="10"/>
            <rFont val="Arial"/>
            <family val="2"/>
          </rPr>
          <t xml:space="preserve">Munuré Sevindi :
Point de contrôle :
Texte en ROUGE si le résultat est DIFFERENT  au nombre de suffrage exprimés (colonne G)</t>
        </r>
      </text>
    </comment>
    <comment ref="O8" authorId="0">
      <text>
        <r>
          <rPr>
            <sz val="10"/>
            <rFont val="Arial"/>
            <family val="2"/>
          </rPr>
          <t xml:space="preserve">Munuré Sevindi :
Point de contrôle :
Texte en ROUGE si le résultat est DIFFERENT  au nombre de suffrage exprimés (colonne G)</t>
        </r>
      </text>
    </comment>
    <comment ref="O9" authorId="0">
      <text>
        <r>
          <rPr>
            <sz val="10"/>
            <rFont val="Arial"/>
            <family val="2"/>
          </rPr>
          <t xml:space="preserve">Munuré Sevindi :
Point de contrôle :
Texte en ROUGE si le résultat est DIFFERENT  au nombre de suffrage exprimés (colonne G)</t>
        </r>
      </text>
    </comment>
    <comment ref="O10" authorId="0">
      <text>
        <r>
          <rPr>
            <sz val="10"/>
            <rFont val="Arial"/>
            <family val="2"/>
          </rPr>
          <t xml:space="preserve">Munuré Sevindi :
Point de contrôle :
Texte en ROUGE si le résultat est DIFFERENT  au nombre de suffrage exprimés (colonne G)</t>
        </r>
      </text>
    </comment>
    <comment ref="O11" authorId="0">
      <text>
        <r>
          <rPr>
            <sz val="10"/>
            <rFont val="Arial"/>
            <family val="2"/>
          </rPr>
          <t xml:space="preserve">Munuré Sevindi :
Point de contrôle :
Texte en ROUGE si le résultat est DIFFERENT  au nombre de suffrage exprimés (colonne G)</t>
        </r>
      </text>
    </comment>
    <comment ref="O12" authorId="0">
      <text>
        <r>
          <rPr>
            <sz val="10"/>
            <rFont val="Arial"/>
            <family val="2"/>
          </rPr>
          <t xml:space="preserve">Munuré Sevindi :
Point de contrôle :
Texte en ROUGE si le résultat est DIFFERENT  au nombre de suffrage exprimés (colonne G)</t>
        </r>
      </text>
    </comment>
    <comment ref="O13" authorId="0">
      <text>
        <r>
          <rPr>
            <sz val="10"/>
            <rFont val="Arial"/>
            <family val="2"/>
          </rPr>
          <t xml:space="preserve">Munuré Sevindi :
Point de contrôle :
Texte en ROUGE si le résultat est DIFFERENT  au nombre de suffrage exprimés (colonne G)</t>
        </r>
      </text>
    </comment>
    <comment ref="O14" authorId="0">
      <text>
        <r>
          <rPr>
            <sz val="10"/>
            <rFont val="Arial"/>
            <family val="2"/>
          </rPr>
          <t xml:space="preserve">Munuré Sevindi :
Point de contrôle :
Texte en ROUGE si le résultat est DIFFERENT  au nombre de suffrage exprimés (colonne G)</t>
        </r>
      </text>
    </comment>
    <comment ref="O15" authorId="0">
      <text>
        <r>
          <rPr>
            <sz val="10"/>
            <rFont val="Arial"/>
            <family val="2"/>
          </rPr>
          <t xml:space="preserve">Munuré Sevindi :
Point de contrôle :
Texte en ROUGE si le résultat est DIFFERENT  au nombre de suffrage exprimés (colonne G)</t>
        </r>
      </text>
    </comment>
    <comment ref="O16" authorId="0">
      <text>
        <r>
          <rPr>
            <sz val="10"/>
            <rFont val="Arial"/>
            <family val="2"/>
          </rPr>
          <t xml:space="preserve">Munuré Sevindi :
Point de contrôle :
Texte en ROUGE si le résultat est DIFFERENT  au nombre de suffrage exprimés (colonne G)</t>
        </r>
      </text>
    </comment>
    <comment ref="O17" authorId="0">
      <text>
        <r>
          <rPr>
            <sz val="10"/>
            <rFont val="Arial"/>
            <family val="2"/>
          </rPr>
          <t xml:space="preserve">Munuré Sevindi :
Point de contrôle :
Texte en ROUGE si le résultat est DIFFERENT  au nombre de suffrage exprimés (colonne G)</t>
        </r>
      </text>
    </comment>
    <comment ref="O18" authorId="0">
      <text>
        <r>
          <rPr>
            <sz val="10"/>
            <rFont val="Arial"/>
            <family val="2"/>
          </rPr>
          <t xml:space="preserve">Munuré Sevindi :
Point de contrôle :
Texte en ROUGE si le résultat est DIFFERENT  au nombre de suffrage exprimés (colonne G)</t>
        </r>
      </text>
    </comment>
    <comment ref="O19" authorId="0">
      <text>
        <r>
          <rPr>
            <sz val="10"/>
            <rFont val="Arial"/>
            <family val="2"/>
          </rPr>
          <t xml:space="preserve">Munuré Sevindi :
Point de contrôle :
Texte en ROUGE si le résultat est DIFFERENT  au nombre de suffrage exprimés (colonne G)</t>
        </r>
      </text>
    </comment>
    <comment ref="O20" authorId="0">
      <text>
        <r>
          <rPr>
            <sz val="10"/>
            <rFont val="Arial"/>
            <family val="2"/>
          </rPr>
          <t xml:space="preserve">Munuré Sevindi :
Point de contrôle :
Texte en ROUGE si le résultat est DIFFERENT  au nombre de suffrage exprimés (colonne G)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Munuré Sevindi :
Point de contrôle :
Texte en ROUGE si le résultat est DIFFERENT au résultat du PV centralisateur (cellule G20)</t>
        </r>
      </text>
    </comment>
  </commentList>
</comments>
</file>

<file path=xl/sharedStrings.xml><?xml version="1.0" encoding="utf-8"?>
<sst xmlns="http://schemas.openxmlformats.org/spreadsheetml/2006/main" count="78" uniqueCount="54">
  <si>
    <t xml:space="preserve">ÉLECTIONS  MUNICIPALES 
XXXX</t>
  </si>
  <si>
    <t xml:space="preserve">Bureaux</t>
  </si>
  <si>
    <t xml:space="preserve">Nombre d'électeurs inscrits</t>
  </si>
  <si>
    <t xml:space="preserve">Nombre de votants 
(enveloppes et bulletins sans enveloppe trouvés dans les urnes)</t>
  </si>
  <si>
    <t xml:space="preserve">Nombre de bulletins et enveloppes annulés</t>
  </si>
  <si>
    <t xml:space="preserve">Nombre de bulletins blancs (3)</t>
  </si>
  <si>
    <t xml:space="preserve">Nombre de suffrages exprimés (4)</t>
  </si>
  <si>
    <t xml:space="preserve">Oussama LAIRBON</t>
  </si>
  <si>
    <t xml:space="preserve">Judas NANA</t>
  </si>
  <si>
    <t xml:space="preserve">Mélanie ZETOFRAI</t>
  </si>
  <si>
    <t xml:space="preserve">Sophie FONFEC</t>
  </si>
  <si>
    <t xml:space="preserve">CONTRÔLE</t>
  </si>
  <si>
    <t xml:space="preserve">PROCURATIONS</t>
  </si>
  <si>
    <t xml:space="preserve">BV1
Mairie 
Place Charles de Gaulle</t>
  </si>
  <si>
    <t xml:space="preserve">BV2
Groupe scolaire de l'Agiot
Square de Beaufortin</t>
  </si>
  <si>
    <t xml:space="preserve">BV3
Ecole élémentaire Malmedonne 
Avenue du Rouergue</t>
  </si>
  <si>
    <t xml:space="preserve">BV4
Ecole Maternelle Haute-Futaie
 Avenue de Touraine</t>
  </si>
  <si>
    <t xml:space="preserve">BV5
Espace Albert Camus 
Rue de la Beauce</t>
  </si>
  <si>
    <t xml:space="preserve">BV6
Groupe scolaire Les Coudrays 
Avenue de Picardie</t>
  </si>
  <si>
    <t xml:space="preserve">BV7
École élémentaire  Les Bessières  
Rue de Noirmoutier</t>
  </si>
  <si>
    <t xml:space="preserve">BV8
Centre de Loisirs du Bout des Clos 
 Chemin des petits fossés</t>
  </si>
  <si>
    <t xml:space="preserve">BV9
École élémentaire La Marnière 
 29 Avenue du Trégor</t>
  </si>
  <si>
    <t xml:space="preserve">BV10
Centre Éducatif et Sportif de l'Agiot (CESA)
Square du Dauphiné</t>
  </si>
  <si>
    <t xml:space="preserve">BV11
École maternelle La Marnière
29 avenue du Trégor</t>
  </si>
  <si>
    <t xml:space="preserve">BV12
Groupe scolaire Les Friches 
 Place du Doubs</t>
  </si>
  <si>
    <t xml:space="preserve">BV13
École maternelle Chapiteau
Allée des Tilleuls </t>
  </si>
  <si>
    <t xml:space="preserve">Totaux </t>
  </si>
  <si>
    <t xml:space="preserve">(5) Les bulletins blancs (de couleur blanche sans aucune mention) et les enveloppes vides sans bulletins sont exclus du champ des bulletins nuls.
Ils sont décomptés séparément et annexés au procés-verbal sans être pris en compte dans la détermination des suffrages exprimés.</t>
  </si>
  <si>
    <t xml:space="preserve">(6) Ce nombre correspond à la différence entre le résultat de la colonne 4 est celui des colonnes 5 et 6.</t>
  </si>
  <si>
    <t xml:space="preserve">MAUREPAS (Yvelines)</t>
  </si>
  <si>
    <t xml:space="preserve">Élections Municipales 
2026</t>
  </si>
  <si>
    <t xml:space="preserve">Nombre</t>
  </si>
  <si>
    <t xml:space="preserve">% / Inscrits ou Votants</t>
  </si>
  <si>
    <t xml:space="preserve">Nombre d’inscrits</t>
  </si>
  <si>
    <t xml:space="preserve">Nombre de votants</t>
  </si>
  <si>
    <t xml:space="preserve">Nombre de bulletins annulés</t>
  </si>
  <si>
    <t xml:space="preserve">Nombre de bulletins blancs</t>
  </si>
  <si>
    <t xml:space="preserve">Suffrages exprimés</t>
  </si>
  <si>
    <t xml:space="preserve">Candidats</t>
  </si>
  <si>
    <t xml:space="preserve">Nombre de voix</t>
  </si>
  <si>
    <t xml:space="preserve">% des suffrages</t>
  </si>
  <si>
    <t xml:space="preserve">TOTAL</t>
  </si>
  <si>
    <t xml:space="preserve">ÉLECTIONS MUNICIPALES 
2026</t>
  </si>
  <si>
    <t xml:space="preserve">               </t>
  </si>
  <si>
    <t xml:space="preserve">Candidat n°1</t>
  </si>
  <si>
    <t xml:space="preserve">Candidat n°2</t>
  </si>
  <si>
    <t xml:space="preserve">Candidat n°3</t>
  </si>
  <si>
    <t xml:space="preserve">Candidat n°4</t>
  </si>
  <si>
    <t xml:space="preserve">Inscrits</t>
  </si>
  <si>
    <t xml:space="preserve">Émargements</t>
  </si>
  <si>
    <t xml:space="preserve">Votants</t>
  </si>
  <si>
    <t xml:space="preserve">Bulletins annulés</t>
  </si>
  <si>
    <t xml:space="preserve">Bulletins blancs</t>
  </si>
  <si>
    <t xml:space="preserve">TOTAUX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</si>
</sst>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_(* #,##0.00_);_(* \(#,##0.00\);_(* \-??_);_(@_)"/>
    <numFmt numFmtId="167" formatCode="0%"/>
    <numFmt numFmtId="168" formatCode="0.00%"/>
    <numFmt numFmtId="169" formatCode="0.00"/>
    <numFmt numFmtId="170" formatCode="_-* #,##0_-;\-* #,##0_-;_-* \-??_-;_-@_-"/>
    <numFmt numFmtId="171" formatCode="#,##0"/>
  </numFmts>
  <fonts count="3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35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b val="true"/>
      <sz val="12"/>
      <name val="Arial"/>
      <family val="2"/>
      <charset val="1"/>
    </font>
    <font>
      <sz val="11"/>
      <name val="Arial"/>
      <family val="2"/>
      <charset val="1"/>
    </font>
    <font>
      <sz val="10"/>
      <name val="Arial"/>
      <family val="2"/>
      <charset val="1"/>
    </font>
    <font>
      <b val="true"/>
      <sz val="12"/>
      <color rgb="FF0000FF"/>
      <name val="Arial"/>
      <family val="2"/>
      <charset val="1"/>
    </font>
    <font>
      <i val="true"/>
      <sz val="9"/>
      <name val="Arial"/>
      <family val="2"/>
      <charset val="1"/>
    </font>
    <font>
      <sz val="12"/>
      <color rgb="FFFF0000"/>
      <name val="Arial"/>
      <family val="2"/>
      <charset val="1"/>
    </font>
    <font>
      <sz val="10"/>
      <name val="Arial"/>
      <family val="2"/>
    </font>
    <font>
      <sz val="10"/>
      <name val="Verdana"/>
      <family val="2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8"/>
      <name val="Verdana"/>
      <family val="2"/>
      <charset val="1"/>
    </font>
    <font>
      <sz val="14"/>
      <name val="Verdana"/>
      <family val="2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2"/>
      <charset val="1"/>
    </font>
    <font>
      <i val="true"/>
      <sz val="11"/>
      <name val="Arial"/>
      <family val="2"/>
      <charset val="1"/>
    </font>
    <font>
      <b val="true"/>
      <sz val="22"/>
      <name val="Arial"/>
      <family val="2"/>
      <charset val="1"/>
    </font>
    <font>
      <sz val="18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1"/>
      <name val="Arial"/>
      <family val="2"/>
      <charset val="1"/>
    </font>
    <font>
      <i val="true"/>
      <sz val="11"/>
      <color rgb="FF0000FF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5" tint="0.7999"/>
        <bgColor rgb="FFFCE4D6"/>
      </patternFill>
    </fill>
    <fill>
      <patternFill patternType="solid">
        <fgColor theme="4" tint="0.7999"/>
        <bgColor rgb="FFD6E4F0"/>
      </patternFill>
    </fill>
    <fill>
      <patternFill patternType="solid">
        <fgColor theme="4" tint="0.5999"/>
        <bgColor rgb="FFBDD7EE"/>
      </patternFill>
    </fill>
    <fill>
      <patternFill patternType="solid">
        <fgColor rgb="FFBDD7EE"/>
        <bgColor rgb="FFB9CDE5"/>
      </patternFill>
    </fill>
    <fill>
      <patternFill patternType="solid">
        <fgColor rgb="FFDDEBF7"/>
        <bgColor rgb="FFDCE6F2"/>
      </patternFill>
    </fill>
    <fill>
      <patternFill patternType="solid">
        <fgColor rgb="FFD6E4F0"/>
        <bgColor rgb="FFDCE6F2"/>
      </patternFill>
    </fill>
    <fill>
      <patternFill patternType="solid">
        <fgColor rgb="FF2E74B5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2DCDB"/>
      </patternFill>
    </fill>
    <fill>
      <patternFill patternType="solid">
        <fgColor rgb="FFF2F2F2"/>
        <bgColor rgb="FFE2EFDA"/>
      </patternFill>
    </fill>
    <fill>
      <patternFill patternType="solid">
        <fgColor theme="3" tint="0.5999"/>
        <bgColor rgb="FF9999FF"/>
      </patternFill>
    </fill>
  </fills>
  <borders count="4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>
        <color rgb="FF595959"/>
      </left>
      <right/>
      <top style="thin">
        <color rgb="FF595959"/>
      </top>
      <bottom style="thin">
        <color rgb="FF595959"/>
      </bottom>
      <diagonal/>
    </border>
    <border diagonalUp="false" diagonalDown="false"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 diagonalUp="false" diagonalDown="false">
      <left style="thin">
        <color rgb="FF595959"/>
      </left>
      <right style="thin"/>
      <top style="thin">
        <color rgb="FF595959"/>
      </top>
      <bottom style="thin">
        <color rgb="FF595959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>
        <color rgb="FF595959"/>
      </left>
      <right style="medium"/>
      <top style="thin">
        <color rgb="FF595959"/>
      </top>
      <bottom style="thin">
        <color rgb="FF595959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3" borderId="10" xfId="0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64" fontId="8" fillId="4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3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0" borderId="14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5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5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8" fillId="0" borderId="13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8" fillId="0" borderId="14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0" borderId="16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6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8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6" borderId="19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8" fillId="5" borderId="1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0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8" fillId="6" borderId="18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8" fillId="6" borderId="19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5" borderId="12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1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8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9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8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8" fillId="0" borderId="19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0" borderId="2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8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9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3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4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2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6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23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8" fillId="0" borderId="24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5" borderId="25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8" xfId="0" applyFont="true" applyBorder="true" applyAlignment="true" applyProtection="false">
      <alignment horizontal="right" vertical="center" textRotation="0" wrapText="false" indent="6" shrinkToFit="false"/>
      <protection locked="true" hidden="false"/>
    </xf>
    <xf numFmtId="165" fontId="11" fillId="7" borderId="3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7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7" borderId="3" xfId="1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" fillId="5" borderId="3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11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8" fontId="1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8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0" fillId="8" borderId="2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8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3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1" fontId="21" fillId="3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3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3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1" fontId="21" fillId="9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9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3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1" fontId="20" fillId="1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3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2" fillId="11" borderId="3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22" fillId="11" borderId="3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12" borderId="3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0" fillId="1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3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0" fillId="13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3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3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1" fontId="20" fillId="14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4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3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1" fontId="20" fillId="15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5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3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1" fontId="20" fillId="8" borderId="3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20" fillId="8" borderId="3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24" fillId="0" borderId="0" xfId="19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6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8" fillId="3" borderId="3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35" xfId="1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8" fillId="0" borderId="36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36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37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35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3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36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3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0" xfId="1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8" fillId="6" borderId="18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9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7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4" fillId="6" borderId="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6" borderId="3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0" xfId="1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8" fillId="0" borderId="18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4" fillId="0" borderId="18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39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9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6" xfId="15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8" fillId="0" borderId="23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4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2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4" fillId="0" borderId="2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40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1" fillId="16" borderId="2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1" fillId="16" borderId="3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6" borderId="4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6" borderId="1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6" borderId="2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9" fillId="16" borderId="3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9" fillId="16" borderId="28" xfId="19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DE5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2EFDA"/>
      <rgbColor rgb="FFFCE4D6"/>
      <rgbColor rgb="FF8EB4E3"/>
      <rgbColor rgb="FFF2F2F2"/>
      <rgbColor rgb="FFD6E4F0"/>
      <rgbColor rgb="FFF2DCDB"/>
      <rgbColor rgb="FF2E74B5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1577520</xdr:colOff>
      <xdr:row>2</xdr:row>
      <xdr:rowOff>998280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0"/>
          <a:ext cx="1577520" cy="2274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11160</xdr:rowOff>
    </xdr:from>
    <xdr:to>
      <xdr:col>2</xdr:col>
      <xdr:colOff>331200</xdr:colOff>
      <xdr:row>2</xdr:row>
      <xdr:rowOff>191880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0" y="11160"/>
          <a:ext cx="2586600" cy="828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761760</xdr:colOff>
      <xdr:row>2</xdr:row>
      <xdr:rowOff>114120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0" y="0"/>
          <a:ext cx="761760" cy="761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1577520</xdr:colOff>
      <xdr:row>4</xdr:row>
      <xdr:rowOff>59040</xdr:rowOff>
    </xdr:to>
    <xdr:pic>
      <xdr:nvPicPr>
        <xdr:cNvPr id="3" name="Image 1" descr=""/>
        <xdr:cNvPicPr/>
      </xdr:nvPicPr>
      <xdr:blipFill>
        <a:blip r:embed="rId1"/>
        <a:stretch/>
      </xdr:blipFill>
      <xdr:spPr>
        <a:xfrm>
          <a:off x="0" y="0"/>
          <a:ext cx="1577520" cy="2259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true"/>
  </sheetPr>
  <dimension ref="A1:Q23"/>
  <sheetViews>
    <sheetView showFormulas="false" showGridLines="false" showRowColHeaders="true" showZeros="true" rightToLeft="false" tabSelected="false" showOutlineSymbols="true" defaultGridColor="true" view="normal" topLeftCell="A4" colorId="64" zoomScale="70" zoomScaleNormal="70" zoomScalePageLayoutView="100" workbookViewId="0">
      <selection pane="topLeft" activeCell="H11" activeCellId="0" sqref="H11"/>
    </sheetView>
  </sheetViews>
  <sheetFormatPr defaultColWidth="0.453125" defaultRowHeight="15" zeroHeight="false" outlineLevelRow="0" outlineLevelCol="0"/>
  <cols>
    <col collapsed="false" customWidth="true" hidden="false" outlineLevel="0" max="1" min="1" style="1" width="53.73"/>
    <col collapsed="false" customWidth="true" hidden="false" outlineLevel="0" max="2" min="2" style="2" width="16.73"/>
    <col collapsed="false" customWidth="true" hidden="false" outlineLevel="0" max="14" min="3" style="1" width="16.73"/>
    <col collapsed="false" customWidth="true" hidden="false" outlineLevel="0" max="15" min="15" style="1" width="11.45"/>
    <col collapsed="false" customWidth="true" hidden="false" outlineLevel="0" max="17" min="16" style="1" width="15.73"/>
    <col collapsed="false" customWidth="true" hidden="false" outlineLevel="0" max="18" min="18" style="3" width="10.73"/>
    <col collapsed="false" customWidth="true" hidden="false" outlineLevel="0" max="20" min="19" style="1" width="1.73"/>
    <col collapsed="false" customWidth="true" hidden="false" outlineLevel="0" max="21" min="21" style="1" width="8"/>
    <col collapsed="false" customWidth="true" hidden="false" outlineLevel="0" max="542" min="22" style="1" width="1.73"/>
    <col collapsed="false" customWidth="false" hidden="false" outlineLevel="0" max="16384" min="543" style="1" width="0.45"/>
  </cols>
  <sheetData>
    <row r="1" customFormat="false" ht="15.75" hidden="false" customHeight="true" outlineLevel="0" collapsed="false"/>
    <row r="2" customFormat="false" ht="84.75" hidden="false" customHeight="true" outlineLevel="0" collapsed="false">
      <c r="B2" s="4" t="s">
        <v>0</v>
      </c>
      <c r="C2" s="4"/>
      <c r="D2" s="4"/>
      <c r="E2" s="4"/>
      <c r="F2" s="4"/>
      <c r="G2" s="5"/>
      <c r="H2" s="5"/>
      <c r="I2" s="5"/>
      <c r="J2" s="5"/>
      <c r="K2" s="5"/>
      <c r="L2" s="5"/>
      <c r="M2" s="5"/>
      <c r="N2" s="5"/>
    </row>
    <row r="3" customFormat="false" ht="84.75" hidden="false" customHeight="true" outlineLevel="0" collapsed="false"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</row>
    <row r="4" customFormat="false" ht="91.5" hidden="false" customHeight="true" outlineLevel="0" collapsed="false">
      <c r="A4" s="6" t="s">
        <v>1</v>
      </c>
      <c r="B4" s="7" t="s">
        <v>2</v>
      </c>
      <c r="C4" s="8" t="s">
        <v>3</v>
      </c>
      <c r="D4" s="9" t="s">
        <v>4</v>
      </c>
      <c r="E4" s="9" t="s">
        <v>5</v>
      </c>
      <c r="F4" s="10" t="s">
        <v>6</v>
      </c>
      <c r="G4" s="11"/>
      <c r="H4" s="11"/>
      <c r="I4" s="11"/>
      <c r="J4" s="11"/>
      <c r="K4" s="11"/>
      <c r="L4" s="11"/>
      <c r="M4" s="11"/>
      <c r="N4" s="12"/>
      <c r="O4" s="13"/>
      <c r="P4" s="14"/>
      <c r="Q4" s="14"/>
    </row>
    <row r="5" customFormat="false" ht="24" hidden="false" customHeight="true" outlineLevel="0" collapsed="false">
      <c r="A5" s="6"/>
      <c r="B5" s="7"/>
      <c r="C5" s="8"/>
      <c r="D5" s="9"/>
      <c r="E5" s="9"/>
      <c r="F5" s="10"/>
      <c r="G5" s="15" t="s">
        <v>7</v>
      </c>
      <c r="H5" s="15"/>
      <c r="I5" s="16" t="s">
        <v>8</v>
      </c>
      <c r="J5" s="16"/>
      <c r="K5" s="16" t="s">
        <v>9</v>
      </c>
      <c r="L5" s="16"/>
      <c r="M5" s="16" t="s">
        <v>10</v>
      </c>
      <c r="N5" s="16"/>
      <c r="O5" s="17"/>
      <c r="P5" s="14"/>
      <c r="Q5" s="14"/>
    </row>
    <row r="6" s="1" customFormat="true" ht="173.25" hidden="false" customHeight="true" outlineLevel="0" collapsed="false">
      <c r="A6" s="6"/>
      <c r="B6" s="7"/>
      <c r="C6" s="8"/>
      <c r="D6" s="9"/>
      <c r="E6" s="9"/>
      <c r="F6" s="10"/>
      <c r="G6" s="18"/>
      <c r="H6" s="18"/>
      <c r="I6" s="18"/>
      <c r="J6" s="18"/>
      <c r="K6" s="18"/>
      <c r="L6" s="18"/>
      <c r="M6" s="18"/>
      <c r="N6" s="18"/>
      <c r="O6" s="19" t="s">
        <v>11</v>
      </c>
      <c r="P6" s="20" t="s">
        <v>12</v>
      </c>
    </row>
    <row r="7" s="1" customFormat="true" ht="49.5" hidden="false" customHeight="true" outlineLevel="0" collapsed="false">
      <c r="A7" s="21" t="s">
        <v>13</v>
      </c>
      <c r="B7" s="22" t="n">
        <v>1193</v>
      </c>
      <c r="C7" s="22" t="n">
        <v>1160</v>
      </c>
      <c r="D7" s="22" t="n">
        <v>26</v>
      </c>
      <c r="E7" s="23" t="n">
        <v>17</v>
      </c>
      <c r="F7" s="24" t="n">
        <f aca="false">C7-D7-E7</f>
        <v>1117</v>
      </c>
      <c r="G7" s="25" t="n">
        <v>440</v>
      </c>
      <c r="H7" s="26" t="n">
        <f aca="false">G7/F7</f>
        <v>0.393912264995524</v>
      </c>
      <c r="I7" s="22" t="n">
        <v>331</v>
      </c>
      <c r="J7" s="26" t="n">
        <f aca="false">I7/F7</f>
        <v>0.29632945389436</v>
      </c>
      <c r="K7" s="22" t="n">
        <v>219</v>
      </c>
      <c r="L7" s="26" t="n">
        <f aca="false">K7/F7</f>
        <v>0.196060877350045</v>
      </c>
      <c r="M7" s="22" t="n">
        <v>128</v>
      </c>
      <c r="N7" s="27" t="n">
        <f aca="false">M7/F7</f>
        <v>0.114592658907789</v>
      </c>
      <c r="O7" s="24" t="n">
        <f aca="false">G7+I7+K7+M7</f>
        <v>1118</v>
      </c>
      <c r="P7" s="28" t="n">
        <v>0</v>
      </c>
    </row>
    <row r="8" s="1" customFormat="true" ht="49.5" hidden="false" customHeight="true" outlineLevel="0" collapsed="false">
      <c r="A8" s="29" t="s">
        <v>14</v>
      </c>
      <c r="B8" s="30" t="n">
        <v>1193</v>
      </c>
      <c r="C8" s="30" t="n">
        <v>1160</v>
      </c>
      <c r="D8" s="30" t="n">
        <v>26</v>
      </c>
      <c r="E8" s="31" t="n">
        <v>17</v>
      </c>
      <c r="F8" s="32" t="n">
        <f aca="false">C8-D8-E8</f>
        <v>1117</v>
      </c>
      <c r="G8" s="33" t="n">
        <v>440</v>
      </c>
      <c r="H8" s="34" t="n">
        <f aca="false">G8/F8</f>
        <v>0.393912264995524</v>
      </c>
      <c r="I8" s="30" t="n">
        <v>331</v>
      </c>
      <c r="J8" s="34" t="n">
        <f aca="false">I8/F8</f>
        <v>0.29632945389436</v>
      </c>
      <c r="K8" s="30" t="n">
        <v>219</v>
      </c>
      <c r="L8" s="34" t="n">
        <f aca="false">K8/F8</f>
        <v>0.196060877350045</v>
      </c>
      <c r="M8" s="30" t="n">
        <v>128</v>
      </c>
      <c r="N8" s="35" t="n">
        <f aca="false">M8/F8</f>
        <v>0.114592658907789</v>
      </c>
      <c r="O8" s="36" t="n">
        <f aca="false">G8+I8+K8+M8</f>
        <v>1118</v>
      </c>
      <c r="P8" s="37"/>
    </row>
    <row r="9" s="1" customFormat="true" ht="49.5" hidden="false" customHeight="true" outlineLevel="0" collapsed="false">
      <c r="A9" s="38" t="s">
        <v>15</v>
      </c>
      <c r="B9" s="39" t="n">
        <v>1193</v>
      </c>
      <c r="C9" s="39" t="n">
        <v>1160</v>
      </c>
      <c r="D9" s="39" t="n">
        <v>26</v>
      </c>
      <c r="E9" s="40" t="n">
        <v>17</v>
      </c>
      <c r="F9" s="32" t="n">
        <f aca="false">C9-D9-E9</f>
        <v>1117</v>
      </c>
      <c r="G9" s="41" t="n">
        <v>440</v>
      </c>
      <c r="H9" s="42" t="n">
        <f aca="false">G9/F9</f>
        <v>0.393912264995524</v>
      </c>
      <c r="I9" s="39" t="n">
        <v>331</v>
      </c>
      <c r="J9" s="42" t="n">
        <f aca="false">I9/F9</f>
        <v>0.29632945389436</v>
      </c>
      <c r="K9" s="39" t="n">
        <v>219</v>
      </c>
      <c r="L9" s="42" t="n">
        <f aca="false">K9/F9</f>
        <v>0.196060877350045</v>
      </c>
      <c r="M9" s="39" t="n">
        <v>128</v>
      </c>
      <c r="N9" s="43" t="n">
        <f aca="false">M9/F9</f>
        <v>0.114592658907789</v>
      </c>
      <c r="O9" s="36" t="n">
        <f aca="false">G9+I9+K9+M9</f>
        <v>1118</v>
      </c>
      <c r="P9" s="44"/>
    </row>
    <row r="10" s="1" customFormat="true" ht="49.5" hidden="false" customHeight="true" outlineLevel="0" collapsed="false">
      <c r="A10" s="29" t="s">
        <v>16</v>
      </c>
      <c r="B10" s="45" t="n">
        <v>1193</v>
      </c>
      <c r="C10" s="45" t="n">
        <v>1160</v>
      </c>
      <c r="D10" s="45" t="n">
        <v>26</v>
      </c>
      <c r="E10" s="46" t="n">
        <v>17</v>
      </c>
      <c r="F10" s="32" t="n">
        <f aca="false">C10-D10-E10</f>
        <v>1117</v>
      </c>
      <c r="G10" s="47" t="n">
        <v>440</v>
      </c>
      <c r="H10" s="34" t="n">
        <f aca="false">G10/F10</f>
        <v>0.393912264995524</v>
      </c>
      <c r="I10" s="45" t="n">
        <v>331</v>
      </c>
      <c r="J10" s="34" t="n">
        <f aca="false">I10/F10</f>
        <v>0.29632945389436</v>
      </c>
      <c r="K10" s="45" t="n">
        <v>219</v>
      </c>
      <c r="L10" s="34" t="n">
        <f aca="false">K10/F10</f>
        <v>0.196060877350045</v>
      </c>
      <c r="M10" s="45" t="n">
        <v>128</v>
      </c>
      <c r="N10" s="35" t="n">
        <f aca="false">M10/F10</f>
        <v>0.114592658907789</v>
      </c>
      <c r="O10" s="36" t="n">
        <f aca="false">G10+I10+K10+M10</f>
        <v>1118</v>
      </c>
      <c r="P10" s="48"/>
    </row>
    <row r="11" s="1" customFormat="true" ht="49.5" hidden="false" customHeight="true" outlineLevel="0" collapsed="false">
      <c r="A11" s="38" t="s">
        <v>17</v>
      </c>
      <c r="B11" s="39" t="n">
        <v>1192</v>
      </c>
      <c r="C11" s="39" t="n">
        <v>1160</v>
      </c>
      <c r="D11" s="39" t="n">
        <v>26</v>
      </c>
      <c r="E11" s="40" t="n">
        <v>17</v>
      </c>
      <c r="F11" s="32" t="n">
        <f aca="false">C11-D11-E11</f>
        <v>1117</v>
      </c>
      <c r="G11" s="41" t="n">
        <v>440</v>
      </c>
      <c r="H11" s="42" t="n">
        <f aca="false">G11/F11</f>
        <v>0.393912264995524</v>
      </c>
      <c r="I11" s="39" t="n">
        <v>331</v>
      </c>
      <c r="J11" s="42" t="n">
        <f aca="false">I11/F11</f>
        <v>0.29632945389436</v>
      </c>
      <c r="K11" s="39" t="n">
        <v>219</v>
      </c>
      <c r="L11" s="42" t="n">
        <f aca="false">K11/F11</f>
        <v>0.196060877350045</v>
      </c>
      <c r="M11" s="39" t="n">
        <v>128</v>
      </c>
      <c r="N11" s="43" t="n">
        <f aca="false">M11/F11</f>
        <v>0.114592658907789</v>
      </c>
      <c r="O11" s="36" t="n">
        <f aca="false">G11+I11+K11+M11</f>
        <v>1118</v>
      </c>
      <c r="P11" s="44"/>
    </row>
    <row r="12" s="1" customFormat="true" ht="49.5" hidden="false" customHeight="true" outlineLevel="0" collapsed="false">
      <c r="A12" s="29" t="s">
        <v>18</v>
      </c>
      <c r="B12" s="45" t="n">
        <v>1192</v>
      </c>
      <c r="C12" s="45" t="n">
        <v>1160</v>
      </c>
      <c r="D12" s="45" t="n">
        <v>26</v>
      </c>
      <c r="E12" s="46" t="n">
        <v>17</v>
      </c>
      <c r="F12" s="32" t="n">
        <f aca="false">C12-D12-E12</f>
        <v>1117</v>
      </c>
      <c r="G12" s="47" t="n">
        <v>440</v>
      </c>
      <c r="H12" s="34" t="n">
        <f aca="false">G12/F12</f>
        <v>0.393912264995524</v>
      </c>
      <c r="I12" s="45" t="n">
        <v>331</v>
      </c>
      <c r="J12" s="34" t="n">
        <f aca="false">I12/F12</f>
        <v>0.29632945389436</v>
      </c>
      <c r="K12" s="45" t="n">
        <v>219</v>
      </c>
      <c r="L12" s="34" t="n">
        <f aca="false">K12/F12</f>
        <v>0.196060877350045</v>
      </c>
      <c r="M12" s="45" t="n">
        <v>128</v>
      </c>
      <c r="N12" s="35" t="n">
        <f aca="false">M12/F12</f>
        <v>0.114592658907789</v>
      </c>
      <c r="O12" s="36" t="n">
        <f aca="false">G12+I12+K12+M12</f>
        <v>1118</v>
      </c>
      <c r="P12" s="48"/>
    </row>
    <row r="13" s="1" customFormat="true" ht="49.5" hidden="false" customHeight="true" outlineLevel="0" collapsed="false">
      <c r="A13" s="38" t="s">
        <v>19</v>
      </c>
      <c r="B13" s="39" t="n">
        <v>1192</v>
      </c>
      <c r="C13" s="39" t="n">
        <v>1160</v>
      </c>
      <c r="D13" s="39" t="n">
        <v>26</v>
      </c>
      <c r="E13" s="40" t="n">
        <v>17</v>
      </c>
      <c r="F13" s="32" t="n">
        <f aca="false">C13-D13-E13</f>
        <v>1117</v>
      </c>
      <c r="G13" s="41" t="n">
        <v>440</v>
      </c>
      <c r="H13" s="42" t="n">
        <f aca="false">G13/F13</f>
        <v>0.393912264995524</v>
      </c>
      <c r="I13" s="39" t="n">
        <v>331</v>
      </c>
      <c r="J13" s="42" t="n">
        <f aca="false">I13/F13</f>
        <v>0.29632945389436</v>
      </c>
      <c r="K13" s="39" t="n">
        <v>219</v>
      </c>
      <c r="L13" s="42" t="n">
        <f aca="false">K13/F13</f>
        <v>0.196060877350045</v>
      </c>
      <c r="M13" s="39" t="n">
        <v>128</v>
      </c>
      <c r="N13" s="43" t="n">
        <f aca="false">M13/F13</f>
        <v>0.114592658907789</v>
      </c>
      <c r="O13" s="36" t="n">
        <f aca="false">G13+I13+K13+M13</f>
        <v>1118</v>
      </c>
      <c r="P13" s="44"/>
    </row>
    <row r="14" s="1" customFormat="true" ht="49.5" hidden="false" customHeight="true" outlineLevel="0" collapsed="false">
      <c r="A14" s="29" t="s">
        <v>20</v>
      </c>
      <c r="B14" s="45" t="n">
        <v>1192</v>
      </c>
      <c r="C14" s="45" t="n">
        <v>1160</v>
      </c>
      <c r="D14" s="45" t="n">
        <v>26</v>
      </c>
      <c r="E14" s="46" t="n">
        <v>17</v>
      </c>
      <c r="F14" s="32" t="n">
        <f aca="false">C14-D14-E14</f>
        <v>1117</v>
      </c>
      <c r="G14" s="47" t="n">
        <v>440</v>
      </c>
      <c r="H14" s="34" t="n">
        <f aca="false">G14/F14</f>
        <v>0.393912264995524</v>
      </c>
      <c r="I14" s="45" t="n">
        <v>331</v>
      </c>
      <c r="J14" s="34" t="n">
        <f aca="false">I14/F14</f>
        <v>0.29632945389436</v>
      </c>
      <c r="K14" s="45" t="n">
        <v>219</v>
      </c>
      <c r="L14" s="34" t="n">
        <f aca="false">K14/F14</f>
        <v>0.196060877350045</v>
      </c>
      <c r="M14" s="45" t="n">
        <v>128</v>
      </c>
      <c r="N14" s="35" t="n">
        <f aca="false">M14/F14</f>
        <v>0.114592658907789</v>
      </c>
      <c r="O14" s="36" t="n">
        <f aca="false">G14+I14+K14+M14</f>
        <v>1118</v>
      </c>
      <c r="P14" s="48"/>
    </row>
    <row r="15" s="1" customFormat="true" ht="49.5" hidden="false" customHeight="true" outlineLevel="0" collapsed="false">
      <c r="A15" s="38" t="s">
        <v>21</v>
      </c>
      <c r="B15" s="39" t="n">
        <v>1192</v>
      </c>
      <c r="C15" s="39" t="n">
        <v>1159</v>
      </c>
      <c r="D15" s="39" t="n">
        <v>25</v>
      </c>
      <c r="E15" s="40" t="n">
        <v>17</v>
      </c>
      <c r="F15" s="32" t="n">
        <f aca="false">C15-D15-E15</f>
        <v>1117</v>
      </c>
      <c r="G15" s="41" t="n">
        <v>440</v>
      </c>
      <c r="H15" s="42" t="n">
        <f aca="false">G15/F15</f>
        <v>0.393912264995524</v>
      </c>
      <c r="I15" s="39" t="n">
        <v>331</v>
      </c>
      <c r="J15" s="42" t="n">
        <f aca="false">I15/F15</f>
        <v>0.29632945389436</v>
      </c>
      <c r="K15" s="39" t="n">
        <v>219</v>
      </c>
      <c r="L15" s="42" t="n">
        <f aca="false">K15/F15</f>
        <v>0.196060877350045</v>
      </c>
      <c r="M15" s="39" t="n">
        <v>128</v>
      </c>
      <c r="N15" s="43" t="n">
        <f aca="false">M15/F15</f>
        <v>0.114592658907789</v>
      </c>
      <c r="O15" s="36" t="n">
        <f aca="false">G15+I15+K15+M15</f>
        <v>1118</v>
      </c>
      <c r="P15" s="44"/>
    </row>
    <row r="16" s="1" customFormat="true" ht="49.5" hidden="false" customHeight="true" outlineLevel="0" collapsed="false">
      <c r="A16" s="29" t="s">
        <v>22</v>
      </c>
      <c r="B16" s="45" t="n">
        <v>1192</v>
      </c>
      <c r="C16" s="45" t="n">
        <v>1159</v>
      </c>
      <c r="D16" s="45" t="n">
        <v>25</v>
      </c>
      <c r="E16" s="46" t="n">
        <v>16</v>
      </c>
      <c r="F16" s="32" t="n">
        <f aca="false">C16-D16-E16</f>
        <v>1118</v>
      </c>
      <c r="G16" s="47" t="n">
        <v>440</v>
      </c>
      <c r="H16" s="34" t="n">
        <f aca="false">G16/F16</f>
        <v>0.393559928443649</v>
      </c>
      <c r="I16" s="45" t="n">
        <v>330</v>
      </c>
      <c r="J16" s="34" t="n">
        <f aca="false">I16/F16</f>
        <v>0.295169946332737</v>
      </c>
      <c r="K16" s="45" t="n">
        <v>219</v>
      </c>
      <c r="L16" s="34" t="n">
        <f aca="false">K16/F16</f>
        <v>0.195885509838998</v>
      </c>
      <c r="M16" s="45" t="n">
        <v>128</v>
      </c>
      <c r="N16" s="35" t="n">
        <f aca="false">M16/F16</f>
        <v>0.114490161001789</v>
      </c>
      <c r="O16" s="36" t="n">
        <f aca="false">G16+I16+K16+M16</f>
        <v>1117</v>
      </c>
      <c r="P16" s="48"/>
    </row>
    <row r="17" s="1" customFormat="true" ht="49.5" hidden="false" customHeight="true" outlineLevel="0" collapsed="false">
      <c r="A17" s="38" t="s">
        <v>23</v>
      </c>
      <c r="B17" s="39" t="n">
        <v>1192</v>
      </c>
      <c r="C17" s="39" t="n">
        <v>1159</v>
      </c>
      <c r="D17" s="39" t="n">
        <v>25</v>
      </c>
      <c r="E17" s="40" t="n">
        <v>16</v>
      </c>
      <c r="F17" s="32" t="n">
        <f aca="false">C17-D17-E17</f>
        <v>1118</v>
      </c>
      <c r="G17" s="41" t="n">
        <v>440</v>
      </c>
      <c r="H17" s="42" t="n">
        <f aca="false">G17/F17</f>
        <v>0.393559928443649</v>
      </c>
      <c r="I17" s="39" t="n">
        <v>330</v>
      </c>
      <c r="J17" s="42" t="n">
        <f aca="false">I17/F17</f>
        <v>0.295169946332737</v>
      </c>
      <c r="K17" s="39" t="n">
        <v>218</v>
      </c>
      <c r="L17" s="42" t="n">
        <f aca="false">K17/F17</f>
        <v>0.194991055456172</v>
      </c>
      <c r="M17" s="39" t="n">
        <v>128</v>
      </c>
      <c r="N17" s="43" t="n">
        <f aca="false">M17/F17</f>
        <v>0.114490161001789</v>
      </c>
      <c r="O17" s="36" t="n">
        <f aca="false">G17+I17+K17+M17</f>
        <v>1116</v>
      </c>
      <c r="P17" s="44"/>
    </row>
    <row r="18" s="1" customFormat="true" ht="49.5" hidden="false" customHeight="true" outlineLevel="0" collapsed="false">
      <c r="A18" s="29" t="s">
        <v>24</v>
      </c>
      <c r="B18" s="45" t="n">
        <v>1192</v>
      </c>
      <c r="C18" s="45" t="n">
        <v>1159</v>
      </c>
      <c r="D18" s="45" t="n">
        <v>25</v>
      </c>
      <c r="E18" s="46" t="n">
        <v>16</v>
      </c>
      <c r="F18" s="32" t="n">
        <f aca="false">C18-D18-E18</f>
        <v>1118</v>
      </c>
      <c r="G18" s="47" t="n">
        <v>440</v>
      </c>
      <c r="H18" s="34" t="n">
        <f aca="false">G18/F18</f>
        <v>0.393559928443649</v>
      </c>
      <c r="I18" s="45" t="n">
        <v>330</v>
      </c>
      <c r="J18" s="34" t="n">
        <f aca="false">I18/F18</f>
        <v>0.295169946332737</v>
      </c>
      <c r="K18" s="45" t="n">
        <v>218</v>
      </c>
      <c r="L18" s="34" t="n">
        <f aca="false">K18/F18</f>
        <v>0.194991055456172</v>
      </c>
      <c r="M18" s="45" t="n">
        <v>128</v>
      </c>
      <c r="N18" s="35" t="n">
        <f aca="false">M18/F18</f>
        <v>0.114490161001789</v>
      </c>
      <c r="O18" s="36" t="n">
        <f aca="false">G18+I18+K18+M18</f>
        <v>1116</v>
      </c>
      <c r="P18" s="48"/>
    </row>
    <row r="19" s="1" customFormat="true" ht="49.5" hidden="false" customHeight="true" outlineLevel="0" collapsed="false">
      <c r="A19" s="49" t="s">
        <v>25</v>
      </c>
      <c r="B19" s="50" t="n">
        <v>1192</v>
      </c>
      <c r="C19" s="50" t="n">
        <v>1159</v>
      </c>
      <c r="D19" s="50" t="n">
        <v>25</v>
      </c>
      <c r="E19" s="51" t="n">
        <v>16</v>
      </c>
      <c r="F19" s="52" t="n">
        <f aca="false">C19-D19-E19</f>
        <v>1118</v>
      </c>
      <c r="G19" s="53" t="n">
        <v>439</v>
      </c>
      <c r="H19" s="54" t="n">
        <f aca="false">G19/F19</f>
        <v>0.392665474060823</v>
      </c>
      <c r="I19" s="50" t="n">
        <v>330</v>
      </c>
      <c r="J19" s="54" t="n">
        <f aca="false">I19/F19</f>
        <v>0.295169946332737</v>
      </c>
      <c r="K19" s="50" t="n">
        <v>218</v>
      </c>
      <c r="L19" s="54" t="n">
        <f aca="false">K19/F19</f>
        <v>0.194991055456172</v>
      </c>
      <c r="M19" s="50" t="n">
        <v>128</v>
      </c>
      <c r="N19" s="55" t="n">
        <f aca="false">M19/F19</f>
        <v>0.114490161001789</v>
      </c>
      <c r="O19" s="56" t="n">
        <f aca="false">G19+I19+K19+M19</f>
        <v>1115</v>
      </c>
      <c r="P19" s="57"/>
    </row>
    <row r="20" s="1" customFormat="true" ht="49.5" hidden="false" customHeight="true" outlineLevel="0" collapsed="false">
      <c r="A20" s="58" t="s">
        <v>26</v>
      </c>
      <c r="B20" s="59" t="n">
        <f aca="false">SUM(B7:B19)</f>
        <v>15500</v>
      </c>
      <c r="C20" s="59" t="n">
        <f aca="false">SUM(C7:C19)</f>
        <v>15075</v>
      </c>
      <c r="D20" s="59" t="n">
        <f aca="false">SUM(D7:D19)</f>
        <v>333</v>
      </c>
      <c r="E20" s="59" t="n">
        <f aca="false">SUM(E7:E19)</f>
        <v>217</v>
      </c>
      <c r="F20" s="60" t="n">
        <f aca="false">C20-D20-E20</f>
        <v>14525</v>
      </c>
      <c r="G20" s="59" t="n">
        <f aca="false">SUM(G7:G19)</f>
        <v>5719</v>
      </c>
      <c r="H20" s="61" t="n">
        <f aca="false">G20/F20</f>
        <v>0.393734939759036</v>
      </c>
      <c r="I20" s="59" t="n">
        <f aca="false">SUM(I7:I19)</f>
        <v>4299</v>
      </c>
      <c r="J20" s="61" t="n">
        <f aca="false">I20/F20</f>
        <v>0.295972461273666</v>
      </c>
      <c r="K20" s="59" t="n">
        <f aca="false">SUM(K7:K19)</f>
        <v>2844</v>
      </c>
      <c r="L20" s="61" t="n">
        <f aca="false">K20/F20</f>
        <v>0.195800344234079</v>
      </c>
      <c r="M20" s="59" t="n">
        <f aca="false">SUM(M7:M19)</f>
        <v>1664</v>
      </c>
      <c r="N20" s="61" t="n">
        <f aca="false">M20/F20</f>
        <v>0.114561101549053</v>
      </c>
      <c r="O20" s="62" t="n">
        <f aca="false">G20+I20+K20+M20</f>
        <v>14526</v>
      </c>
      <c r="P20" s="63" t="n">
        <f aca="false">SUM(P7:P19)</f>
        <v>0</v>
      </c>
    </row>
    <row r="21" s="1" customFormat="true" ht="15.75" hidden="false" customHeight="true" outlineLevel="0" collapsed="false">
      <c r="B21" s="64"/>
      <c r="C21" s="64"/>
      <c r="D21" s="64"/>
      <c r="E21" s="64"/>
      <c r="F21" s="65"/>
      <c r="G21" s="65"/>
      <c r="H21" s="65"/>
      <c r="I21" s="65"/>
      <c r="J21" s="65"/>
      <c r="K21" s="65"/>
      <c r="L21" s="65"/>
      <c r="M21" s="65"/>
      <c r="N21" s="65"/>
    </row>
    <row r="22" customFormat="false" ht="26.25" hidden="false" customHeight="true" outlineLevel="0" collapsed="false">
      <c r="A22" s="66" t="s">
        <v>27</v>
      </c>
      <c r="B22" s="66"/>
      <c r="C22" s="66"/>
      <c r="D22" s="66"/>
      <c r="E22" s="66"/>
      <c r="F22" s="64"/>
      <c r="G22" s="64"/>
      <c r="H22" s="64"/>
      <c r="I22" s="64"/>
      <c r="J22" s="64"/>
      <c r="K22" s="64"/>
      <c r="L22" s="64"/>
      <c r="M22" s="64"/>
      <c r="N22" s="64"/>
      <c r="O22" s="67"/>
      <c r="Q22" s="67"/>
    </row>
    <row r="23" customFormat="false" ht="15" hidden="false" customHeight="false" outlineLevel="0" collapsed="false">
      <c r="A23" s="68" t="s">
        <v>28</v>
      </c>
      <c r="B23" s="68"/>
      <c r="C23" s="68"/>
      <c r="D23" s="68"/>
      <c r="E23" s="68"/>
      <c r="F23" s="69"/>
      <c r="G23" s="69"/>
      <c r="H23" s="69"/>
      <c r="I23" s="69"/>
      <c r="J23" s="69"/>
      <c r="K23" s="69"/>
      <c r="L23" s="69"/>
      <c r="M23" s="69"/>
      <c r="N23" s="69"/>
      <c r="O23" s="70"/>
      <c r="P23" s="70"/>
      <c r="Q23" s="70"/>
    </row>
  </sheetData>
  <mergeCells count="18">
    <mergeCell ref="B2:F3"/>
    <mergeCell ref="A4:A6"/>
    <mergeCell ref="B4:B6"/>
    <mergeCell ref="C4:C6"/>
    <mergeCell ref="D4:D6"/>
    <mergeCell ref="E4:E6"/>
    <mergeCell ref="F4:F6"/>
    <mergeCell ref="G4:M4"/>
    <mergeCell ref="G5:H5"/>
    <mergeCell ref="I5:J5"/>
    <mergeCell ref="K5:L5"/>
    <mergeCell ref="M5:N5"/>
    <mergeCell ref="G6:H6"/>
    <mergeCell ref="I6:J6"/>
    <mergeCell ref="K6:L6"/>
    <mergeCell ref="M6:N6"/>
    <mergeCell ref="A22:E22"/>
    <mergeCell ref="A23:E23"/>
  </mergeCells>
  <printOptions headings="false" gridLines="false" gridLinesSet="true" horizontalCentered="false" verticalCentered="true"/>
  <pageMargins left="0.236111111111111" right="0.433333333333333" top="0.945138888888889" bottom="0.551388888888889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B4E3"/>
    <pageSetUpPr fitToPage="true"/>
  </sheetPr>
  <dimension ref="A1:D16"/>
  <sheetViews>
    <sheetView showFormulas="false" showGridLines="false" showRowColHeaders="true" showZeros="true" rightToLeft="false" tabSelected="true" showOutlineSymbols="true" defaultGridColor="true" view="normal" topLeftCell="A1" colorId="64" zoomScale="86" zoomScaleNormal="86" zoomScalePageLayoutView="100" workbookViewId="0">
      <selection pane="topLeft" activeCell="A3" activeCellId="0" sqref="A3"/>
    </sheetView>
  </sheetViews>
  <sheetFormatPr defaultColWidth="11.453125" defaultRowHeight="13.5" zeroHeight="false" outlineLevelRow="0" outlineLevelCol="0"/>
  <cols>
    <col collapsed="false" customWidth="true" hidden="false" outlineLevel="0" max="1" min="1" style="71" width="28"/>
    <col collapsed="false" customWidth="true" hidden="false" outlineLevel="0" max="2" min="2" style="71" width="4"/>
    <col collapsed="false" customWidth="true" hidden="false" outlineLevel="0" max="3" min="3" style="71" width="14"/>
    <col collapsed="false" customWidth="true" hidden="false" outlineLevel="0" max="4" min="4" style="72" width="12"/>
    <col collapsed="false" customWidth="false" hidden="false" outlineLevel="0" max="16384" min="5" style="71" width="11.45"/>
  </cols>
  <sheetData>
    <row r="1" customFormat="false" ht="25.5" hidden="false" customHeight="true" outlineLevel="0" collapsed="false">
      <c r="A1" s="73" t="s">
        <v>29</v>
      </c>
      <c r="B1" s="73"/>
      <c r="C1" s="73"/>
      <c r="D1" s="73"/>
    </row>
    <row r="2" customFormat="false" ht="25.5" hidden="false" customHeight="true" outlineLevel="0" collapsed="false">
      <c r="A2" s="74" t="s">
        <v>30</v>
      </c>
      <c r="B2" s="74"/>
      <c r="C2" s="74"/>
      <c r="D2" s="74"/>
    </row>
    <row r="3" customFormat="false" ht="22.5" hidden="false" customHeight="true" outlineLevel="0" collapsed="false">
      <c r="A3" s="75"/>
      <c r="B3" s="75"/>
      <c r="C3" s="75"/>
      <c r="D3" s="75"/>
    </row>
    <row r="4" customFormat="false" ht="21.75" hidden="false" customHeight="true" outlineLevel="0" collapsed="false">
      <c r="A4" s="76"/>
      <c r="B4" s="77" t="s">
        <v>31</v>
      </c>
      <c r="C4" s="77"/>
      <c r="D4" s="78" t="s">
        <v>32</v>
      </c>
    </row>
    <row r="5" customFormat="false" ht="19.5" hidden="false" customHeight="true" outlineLevel="0" collapsed="false">
      <c r="A5" s="79" t="s">
        <v>33</v>
      </c>
      <c r="B5" s="79"/>
      <c r="C5" s="80" t="n">
        <f aca="false">'pv centralisateur'!B20</f>
        <v>15500</v>
      </c>
      <c r="D5" s="81"/>
    </row>
    <row r="6" customFormat="false" ht="19.5" hidden="false" customHeight="true" outlineLevel="0" collapsed="false">
      <c r="A6" s="82" t="s">
        <v>34</v>
      </c>
      <c r="B6" s="82"/>
      <c r="C6" s="83" t="n">
        <f aca="false">'pv centralisateur'!C20</f>
        <v>15075</v>
      </c>
      <c r="D6" s="84" t="n">
        <f aca="false">IFERROR(C6/C5,"—")</f>
        <v>0.97258064516129</v>
      </c>
    </row>
    <row r="7" customFormat="false" ht="19.5" hidden="false" customHeight="true" outlineLevel="0" collapsed="false">
      <c r="A7" s="79" t="s">
        <v>35</v>
      </c>
      <c r="B7" s="79"/>
      <c r="C7" s="80" t="n">
        <f aca="false">'pv centralisateur'!D20</f>
        <v>333</v>
      </c>
      <c r="D7" s="81" t="n">
        <f aca="false">IFERROR(C7/C6,"—")</f>
        <v>0.022089552238806</v>
      </c>
    </row>
    <row r="8" customFormat="false" ht="19.5" hidden="false" customHeight="true" outlineLevel="0" collapsed="false">
      <c r="A8" s="82" t="s">
        <v>36</v>
      </c>
      <c r="B8" s="82"/>
      <c r="C8" s="83" t="n">
        <f aca="false">'pv centralisateur'!E20</f>
        <v>217</v>
      </c>
      <c r="D8" s="84" t="n">
        <f aca="false">IFERROR(C8/C6,"—")</f>
        <v>0.0143946932006634</v>
      </c>
    </row>
    <row r="9" customFormat="false" ht="19.5" hidden="false" customHeight="true" outlineLevel="0" collapsed="false">
      <c r="A9" s="85" t="s">
        <v>37</v>
      </c>
      <c r="B9" s="85"/>
      <c r="C9" s="86" t="n">
        <f aca="false">C6-C7-C8</f>
        <v>14525</v>
      </c>
      <c r="D9" s="87" t="n">
        <f aca="false">IFERROR(C9/C5,"—")</f>
        <v>0.937096774193548</v>
      </c>
    </row>
    <row r="10" customFormat="false" ht="30" hidden="false" customHeight="true" outlineLevel="0" collapsed="false">
      <c r="A10" s="76"/>
    </row>
    <row r="11" customFormat="false" ht="19.5" hidden="false" customHeight="true" outlineLevel="0" collapsed="false">
      <c r="A11" s="88" t="s">
        <v>38</v>
      </c>
      <c r="B11" s="88"/>
      <c r="C11" s="89" t="s">
        <v>39</v>
      </c>
      <c r="D11" s="90" t="s">
        <v>40</v>
      </c>
    </row>
    <row r="12" customFormat="false" ht="19.5" hidden="false" customHeight="true" outlineLevel="0" collapsed="false">
      <c r="A12" s="91" t="s">
        <v>7</v>
      </c>
      <c r="B12" s="92"/>
      <c r="C12" s="93" t="n">
        <f aca="false">'pv centralisateur'!G20</f>
        <v>5719</v>
      </c>
      <c r="D12" s="94" t="n">
        <f aca="false">IFERROR(C12/$C$9,"—")</f>
        <v>0.393734939759036</v>
      </c>
    </row>
    <row r="13" customFormat="false" ht="19.5" hidden="false" customHeight="true" outlineLevel="0" collapsed="false">
      <c r="A13" s="95" t="s">
        <v>8</v>
      </c>
      <c r="B13" s="96"/>
      <c r="C13" s="97" t="n">
        <f aca="false">'pv centralisateur'!I20</f>
        <v>4299</v>
      </c>
      <c r="D13" s="98" t="n">
        <f aca="false">IFERROR(C13/$C$9,"—")</f>
        <v>0.295972461273666</v>
      </c>
    </row>
    <row r="14" customFormat="false" ht="19.5" hidden="false" customHeight="true" outlineLevel="0" collapsed="false">
      <c r="A14" s="99" t="s">
        <v>9</v>
      </c>
      <c r="B14" s="92"/>
      <c r="C14" s="100" t="n">
        <f aca="false">'pv centralisateur'!K20</f>
        <v>2844</v>
      </c>
      <c r="D14" s="101" t="n">
        <f aca="false">IFERROR(C14/$C$9,"—")</f>
        <v>0.195800344234079</v>
      </c>
    </row>
    <row r="15" customFormat="false" ht="19.5" hidden="false" customHeight="true" outlineLevel="0" collapsed="false">
      <c r="A15" s="102" t="s">
        <v>10</v>
      </c>
      <c r="B15" s="92"/>
      <c r="C15" s="103" t="n">
        <f aca="false">'pv centralisateur'!M20</f>
        <v>1664</v>
      </c>
      <c r="D15" s="104" t="n">
        <f aca="false">IFERROR(C15/$C$9,"—")</f>
        <v>0.114561101549053</v>
      </c>
    </row>
    <row r="16" customFormat="false" ht="19.5" hidden="false" customHeight="true" outlineLevel="0" collapsed="false">
      <c r="A16" s="105" t="s">
        <v>41</v>
      </c>
      <c r="B16" s="105"/>
      <c r="C16" s="106" t="n">
        <f aca="false">SUM(C12:C15)</f>
        <v>14526</v>
      </c>
      <c r="D16" s="107" t="n">
        <f aca="false">IFERROR(SUM(D12:D15),"—")</f>
        <v>1.00006884681583</v>
      </c>
    </row>
  </sheetData>
  <mergeCells count="11">
    <mergeCell ref="A1:D1"/>
    <mergeCell ref="A2:D2"/>
    <mergeCell ref="A3:D3"/>
    <mergeCell ref="B4:C4"/>
    <mergeCell ref="A5:B5"/>
    <mergeCell ref="A6:B6"/>
    <mergeCell ref="A7:B7"/>
    <mergeCell ref="A8:B8"/>
    <mergeCell ref="A9:B9"/>
    <mergeCell ref="A11:B11"/>
    <mergeCell ref="A16:B16"/>
  </mergeCells>
  <printOptions headings="false" gridLines="false" gridLinesSet="true" horizontalCentered="true" verticalCentered="true"/>
  <pageMargins left="0.39375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O19"/>
  <sheetViews>
    <sheetView showFormulas="false" showGridLines="false" showRowColHeaders="true" showZeros="true" rightToLeft="false" tabSelected="false" showOutlineSymbols="true" defaultGridColor="true" view="normal" topLeftCell="A1" colorId="64" zoomScale="56" zoomScaleNormal="56" zoomScalePageLayoutView="100" workbookViewId="0">
      <selection pane="topLeft" activeCell="S3" activeCellId="0" sqref="S3"/>
    </sheetView>
  </sheetViews>
  <sheetFormatPr defaultColWidth="11.453125" defaultRowHeight="14.25" zeroHeight="false" outlineLevelRow="0" outlineLevelCol="0"/>
  <cols>
    <col collapsed="false" customWidth="true" hidden="false" outlineLevel="0" max="1" min="1" style="108" width="53.73"/>
    <col collapsed="false" customWidth="true" hidden="false" outlineLevel="0" max="2" min="2" style="109" width="20.73"/>
    <col collapsed="false" customWidth="true" hidden="false" outlineLevel="0" max="3" min="3" style="108" width="19.82"/>
    <col collapsed="false" customWidth="true" hidden="false" outlineLevel="0" max="7" min="4" style="108" width="15.73"/>
    <col collapsed="false" customWidth="true" hidden="false" outlineLevel="0" max="8" min="8" style="108" width="14.73"/>
    <col collapsed="false" customWidth="true" hidden="false" outlineLevel="0" max="9" min="9" style="110" width="10.73"/>
    <col collapsed="false" customWidth="true" hidden="false" outlineLevel="0" max="10" min="10" style="108" width="14.73"/>
    <col collapsed="false" customWidth="true" hidden="false" outlineLevel="0" max="11" min="11" style="110" width="10.73"/>
    <col collapsed="false" customWidth="true" hidden="false" outlineLevel="0" max="12" min="12" style="108" width="14.73"/>
    <col collapsed="false" customWidth="true" hidden="false" outlineLevel="0" max="13" min="13" style="110" width="10.73"/>
    <col collapsed="false" customWidth="true" hidden="false" outlineLevel="0" max="14" min="14" style="108" width="14.73"/>
    <col collapsed="false" customWidth="true" hidden="false" outlineLevel="0" max="15" min="15" style="110" width="10.73"/>
    <col collapsed="false" customWidth="false" hidden="false" outlineLevel="0" max="16384" min="16" style="108" width="11.45"/>
  </cols>
  <sheetData>
    <row r="1" customFormat="false" ht="15.75" hidden="false" customHeight="true" outlineLevel="0" collapsed="false">
      <c r="A1" s="111"/>
      <c r="B1" s="111"/>
      <c r="C1" s="111"/>
      <c r="D1" s="111"/>
      <c r="E1" s="111"/>
      <c r="F1" s="111"/>
      <c r="G1" s="111"/>
    </row>
    <row r="2" s="108" customFormat="true" ht="84.75" hidden="false" customHeight="true" outlineLevel="0" collapsed="false">
      <c r="A2" s="111"/>
      <c r="B2" s="112" t="s">
        <v>42</v>
      </c>
      <c r="C2" s="112"/>
      <c r="D2" s="112"/>
      <c r="E2" s="112"/>
      <c r="F2" s="112"/>
      <c r="G2" s="112"/>
      <c r="J2" s="108" t="s">
        <v>43</v>
      </c>
      <c r="L2" s="108" t="s">
        <v>43</v>
      </c>
      <c r="N2" s="108" t="s">
        <v>43</v>
      </c>
    </row>
    <row r="3" customFormat="false" ht="54.75" hidden="false" customHeight="true" outlineLevel="0" collapsed="false">
      <c r="A3" s="111"/>
      <c r="B3" s="111"/>
      <c r="C3" s="111"/>
      <c r="D3" s="111"/>
      <c r="E3" s="111"/>
      <c r="F3" s="111"/>
      <c r="G3" s="111"/>
    </row>
    <row r="4" customFormat="false" ht="18" hidden="false" customHeight="true" outlineLevel="0" collapsed="false">
      <c r="A4" s="113"/>
      <c r="B4" s="114"/>
      <c r="C4" s="113"/>
      <c r="D4" s="113"/>
      <c r="E4" s="113"/>
      <c r="F4" s="113"/>
      <c r="G4" s="113"/>
      <c r="H4" s="115" t="s">
        <v>44</v>
      </c>
      <c r="I4" s="115"/>
      <c r="J4" s="115" t="s">
        <v>45</v>
      </c>
      <c r="K4" s="115"/>
      <c r="L4" s="115" t="s">
        <v>46</v>
      </c>
      <c r="M4" s="115"/>
      <c r="N4" s="115" t="s">
        <v>47</v>
      </c>
      <c r="O4" s="115"/>
    </row>
    <row r="5" customFormat="false" ht="163.5" hidden="false" customHeight="true" outlineLevel="0" collapsed="false">
      <c r="A5" s="116"/>
      <c r="B5" s="117" t="s">
        <v>48</v>
      </c>
      <c r="C5" s="118" t="s">
        <v>49</v>
      </c>
      <c r="D5" s="118" t="s">
        <v>50</v>
      </c>
      <c r="E5" s="118" t="s">
        <v>51</v>
      </c>
      <c r="F5" s="118" t="s">
        <v>52</v>
      </c>
      <c r="G5" s="119" t="s">
        <v>37</v>
      </c>
      <c r="H5" s="120" t="s">
        <v>7</v>
      </c>
      <c r="I5" s="120"/>
      <c r="J5" s="120" t="s">
        <v>8</v>
      </c>
      <c r="K5" s="120"/>
      <c r="L5" s="120" t="s">
        <v>9</v>
      </c>
      <c r="M5" s="120"/>
      <c r="N5" s="120" t="s">
        <v>10</v>
      </c>
      <c r="O5" s="120"/>
    </row>
    <row r="6" customFormat="false" ht="49.5" hidden="false" customHeight="true" outlineLevel="0" collapsed="false">
      <c r="A6" s="121" t="s">
        <v>13</v>
      </c>
      <c r="B6" s="122" t="n">
        <v>1193</v>
      </c>
      <c r="C6" s="123"/>
      <c r="D6" s="123" t="n">
        <v>1160</v>
      </c>
      <c r="E6" s="124" t="n">
        <v>26</v>
      </c>
      <c r="F6" s="125" t="n">
        <v>17</v>
      </c>
      <c r="G6" s="126" t="n">
        <v>1117</v>
      </c>
      <c r="H6" s="127" t="n">
        <v>440</v>
      </c>
      <c r="I6" s="128"/>
      <c r="J6" s="129" t="n">
        <v>331</v>
      </c>
      <c r="K6" s="128"/>
      <c r="L6" s="129" t="n">
        <v>219</v>
      </c>
      <c r="M6" s="128"/>
      <c r="N6" s="129" t="n">
        <v>128</v>
      </c>
      <c r="O6" s="130"/>
    </row>
    <row r="7" customFormat="false" ht="49.5" hidden="false" customHeight="true" outlineLevel="0" collapsed="false">
      <c r="A7" s="29" t="s">
        <v>14</v>
      </c>
      <c r="B7" s="131" t="n">
        <v>1193</v>
      </c>
      <c r="C7" s="132"/>
      <c r="D7" s="132" t="n">
        <v>1160</v>
      </c>
      <c r="E7" s="132" t="n">
        <v>26</v>
      </c>
      <c r="F7" s="133" t="n">
        <v>17</v>
      </c>
      <c r="G7" s="134" t="n">
        <v>1117</v>
      </c>
      <c r="H7" s="47" t="n">
        <v>440</v>
      </c>
      <c r="I7" s="135"/>
      <c r="J7" s="45" t="n">
        <v>331</v>
      </c>
      <c r="K7" s="135"/>
      <c r="L7" s="45" t="n">
        <v>219</v>
      </c>
      <c r="M7" s="135"/>
      <c r="N7" s="45" t="n">
        <v>128</v>
      </c>
      <c r="O7" s="136"/>
    </row>
    <row r="8" customFormat="false" ht="49.5" hidden="false" customHeight="true" outlineLevel="0" collapsed="false">
      <c r="A8" s="38" t="s">
        <v>15</v>
      </c>
      <c r="B8" s="137" t="n">
        <v>1193</v>
      </c>
      <c r="C8" s="138"/>
      <c r="D8" s="138" t="n">
        <v>1160</v>
      </c>
      <c r="E8" s="132" t="n">
        <v>26</v>
      </c>
      <c r="F8" s="133" t="n">
        <v>17</v>
      </c>
      <c r="G8" s="134" t="n">
        <v>1117</v>
      </c>
      <c r="H8" s="41" t="n">
        <v>440</v>
      </c>
      <c r="I8" s="139"/>
      <c r="J8" s="39" t="n">
        <v>331</v>
      </c>
      <c r="K8" s="139"/>
      <c r="L8" s="39" t="n">
        <v>219</v>
      </c>
      <c r="M8" s="139"/>
      <c r="N8" s="39" t="n">
        <v>128</v>
      </c>
      <c r="O8" s="140"/>
    </row>
    <row r="9" customFormat="false" ht="49.5" hidden="false" customHeight="true" outlineLevel="0" collapsed="false">
      <c r="A9" s="29" t="s">
        <v>16</v>
      </c>
      <c r="B9" s="131" t="n">
        <v>1193</v>
      </c>
      <c r="C9" s="132"/>
      <c r="D9" s="132" t="n">
        <v>1160</v>
      </c>
      <c r="E9" s="132" t="n">
        <v>26</v>
      </c>
      <c r="F9" s="133" t="n">
        <v>17</v>
      </c>
      <c r="G9" s="134" t="n">
        <v>1117</v>
      </c>
      <c r="H9" s="47" t="n">
        <v>440</v>
      </c>
      <c r="I9" s="135"/>
      <c r="J9" s="45" t="n">
        <v>331</v>
      </c>
      <c r="K9" s="135"/>
      <c r="L9" s="45" t="n">
        <v>219</v>
      </c>
      <c r="M9" s="135"/>
      <c r="N9" s="45" t="n">
        <v>128</v>
      </c>
      <c r="O9" s="136"/>
    </row>
    <row r="10" customFormat="false" ht="49.5" hidden="false" customHeight="true" outlineLevel="0" collapsed="false">
      <c r="A10" s="38" t="s">
        <v>17</v>
      </c>
      <c r="B10" s="137" t="n">
        <v>1192</v>
      </c>
      <c r="C10" s="138"/>
      <c r="D10" s="138" t="n">
        <v>1160</v>
      </c>
      <c r="E10" s="138" t="n">
        <v>26</v>
      </c>
      <c r="F10" s="141" t="n">
        <v>17</v>
      </c>
      <c r="G10" s="134" t="n">
        <v>1117</v>
      </c>
      <c r="H10" s="41" t="n">
        <v>440</v>
      </c>
      <c r="I10" s="139"/>
      <c r="J10" s="39" t="n">
        <v>331</v>
      </c>
      <c r="K10" s="139"/>
      <c r="L10" s="39" t="n">
        <v>219</v>
      </c>
      <c r="M10" s="139"/>
      <c r="N10" s="39" t="n">
        <v>128</v>
      </c>
      <c r="O10" s="140"/>
    </row>
    <row r="11" customFormat="false" ht="49.5" hidden="false" customHeight="true" outlineLevel="0" collapsed="false">
      <c r="A11" s="29" t="s">
        <v>18</v>
      </c>
      <c r="B11" s="131" t="n">
        <v>1192</v>
      </c>
      <c r="C11" s="132"/>
      <c r="D11" s="132" t="n">
        <v>1160</v>
      </c>
      <c r="E11" s="132" t="n">
        <v>26</v>
      </c>
      <c r="F11" s="133" t="n">
        <v>17</v>
      </c>
      <c r="G11" s="134" t="n">
        <v>1117</v>
      </c>
      <c r="H11" s="47" t="n">
        <v>440</v>
      </c>
      <c r="I11" s="135"/>
      <c r="J11" s="45" t="n">
        <v>331</v>
      </c>
      <c r="K11" s="135"/>
      <c r="L11" s="45" t="n">
        <v>219</v>
      </c>
      <c r="M11" s="135"/>
      <c r="N11" s="45" t="n">
        <v>128</v>
      </c>
      <c r="O11" s="136"/>
    </row>
    <row r="12" customFormat="false" ht="49.5" hidden="false" customHeight="true" outlineLevel="0" collapsed="false">
      <c r="A12" s="38" t="s">
        <v>19</v>
      </c>
      <c r="B12" s="137" t="n">
        <v>1192</v>
      </c>
      <c r="C12" s="138"/>
      <c r="D12" s="138" t="n">
        <v>1160</v>
      </c>
      <c r="E12" s="138" t="n">
        <v>26</v>
      </c>
      <c r="F12" s="141" t="n">
        <v>17</v>
      </c>
      <c r="G12" s="134" t="n">
        <v>1117</v>
      </c>
      <c r="H12" s="41" t="n">
        <v>440</v>
      </c>
      <c r="I12" s="139"/>
      <c r="J12" s="39" t="n">
        <v>331</v>
      </c>
      <c r="K12" s="139"/>
      <c r="L12" s="39" t="n">
        <v>219</v>
      </c>
      <c r="M12" s="139"/>
      <c r="N12" s="39" t="n">
        <v>128</v>
      </c>
      <c r="O12" s="140"/>
    </row>
    <row r="13" customFormat="false" ht="49.5" hidden="false" customHeight="true" outlineLevel="0" collapsed="false">
      <c r="A13" s="29" t="s">
        <v>20</v>
      </c>
      <c r="B13" s="131" t="n">
        <v>1192</v>
      </c>
      <c r="C13" s="132"/>
      <c r="D13" s="132" t="n">
        <v>1160</v>
      </c>
      <c r="E13" s="132" t="n">
        <v>26</v>
      </c>
      <c r="F13" s="133" t="n">
        <v>17</v>
      </c>
      <c r="G13" s="134" t="n">
        <v>1117</v>
      </c>
      <c r="H13" s="47" t="n">
        <v>440</v>
      </c>
      <c r="I13" s="135"/>
      <c r="J13" s="45" t="n">
        <v>331</v>
      </c>
      <c r="K13" s="135"/>
      <c r="L13" s="45" t="n">
        <v>219</v>
      </c>
      <c r="M13" s="135"/>
      <c r="N13" s="45" t="n">
        <v>128</v>
      </c>
      <c r="O13" s="136"/>
    </row>
    <row r="14" customFormat="false" ht="49.5" hidden="false" customHeight="true" outlineLevel="0" collapsed="false">
      <c r="A14" s="38" t="s">
        <v>21</v>
      </c>
      <c r="B14" s="137" t="n">
        <v>1192</v>
      </c>
      <c r="C14" s="138"/>
      <c r="D14" s="138" t="n">
        <v>1159</v>
      </c>
      <c r="E14" s="138" t="n">
        <v>25</v>
      </c>
      <c r="F14" s="141" t="n">
        <v>17</v>
      </c>
      <c r="G14" s="134" t="n">
        <v>1117</v>
      </c>
      <c r="H14" s="41" t="n">
        <v>440</v>
      </c>
      <c r="I14" s="139"/>
      <c r="J14" s="39" t="n">
        <v>331</v>
      </c>
      <c r="K14" s="139"/>
      <c r="L14" s="39" t="n">
        <v>219</v>
      </c>
      <c r="M14" s="139"/>
      <c r="N14" s="39" t="n">
        <v>128</v>
      </c>
      <c r="O14" s="140"/>
    </row>
    <row r="15" customFormat="false" ht="49.5" hidden="false" customHeight="true" outlineLevel="0" collapsed="false">
      <c r="A15" s="29" t="s">
        <v>22</v>
      </c>
      <c r="B15" s="131" t="n">
        <v>1192</v>
      </c>
      <c r="C15" s="132"/>
      <c r="D15" s="132" t="n">
        <v>1159</v>
      </c>
      <c r="E15" s="132" t="n">
        <v>25</v>
      </c>
      <c r="F15" s="133" t="n">
        <v>16</v>
      </c>
      <c r="G15" s="134" t="n">
        <v>1118</v>
      </c>
      <c r="H15" s="47" t="n">
        <v>440</v>
      </c>
      <c r="I15" s="135"/>
      <c r="J15" s="45" t="n">
        <v>330</v>
      </c>
      <c r="K15" s="135"/>
      <c r="L15" s="45" t="n">
        <v>219</v>
      </c>
      <c r="M15" s="135"/>
      <c r="N15" s="45" t="n">
        <v>128</v>
      </c>
      <c r="O15" s="136"/>
    </row>
    <row r="16" customFormat="false" ht="49.5" hidden="false" customHeight="true" outlineLevel="0" collapsed="false">
      <c r="A16" s="38" t="s">
        <v>23</v>
      </c>
      <c r="B16" s="137" t="n">
        <v>1192</v>
      </c>
      <c r="C16" s="138"/>
      <c r="D16" s="138" t="n">
        <v>1159</v>
      </c>
      <c r="E16" s="138" t="n">
        <v>25</v>
      </c>
      <c r="F16" s="141" t="n">
        <v>16</v>
      </c>
      <c r="G16" s="134" t="n">
        <v>1118</v>
      </c>
      <c r="H16" s="41" t="n">
        <v>440</v>
      </c>
      <c r="I16" s="139"/>
      <c r="J16" s="39" t="n">
        <v>330</v>
      </c>
      <c r="K16" s="139"/>
      <c r="L16" s="39" t="n">
        <v>218</v>
      </c>
      <c r="M16" s="139"/>
      <c r="N16" s="39" t="n">
        <v>128</v>
      </c>
      <c r="O16" s="140"/>
    </row>
    <row r="17" customFormat="false" ht="49.5" hidden="false" customHeight="true" outlineLevel="0" collapsed="false">
      <c r="A17" s="29" t="s">
        <v>24</v>
      </c>
      <c r="B17" s="131" t="n">
        <v>1192</v>
      </c>
      <c r="C17" s="132"/>
      <c r="D17" s="132" t="n">
        <v>1159</v>
      </c>
      <c r="E17" s="132" t="n">
        <v>25</v>
      </c>
      <c r="F17" s="133" t="n">
        <v>16</v>
      </c>
      <c r="G17" s="134" t="n">
        <v>1118</v>
      </c>
      <c r="H17" s="47" t="n">
        <v>440</v>
      </c>
      <c r="I17" s="135"/>
      <c r="J17" s="45" t="n">
        <v>330</v>
      </c>
      <c r="K17" s="135"/>
      <c r="L17" s="45" t="n">
        <v>218</v>
      </c>
      <c r="M17" s="135"/>
      <c r="N17" s="45" t="n">
        <v>128</v>
      </c>
      <c r="O17" s="136"/>
    </row>
    <row r="18" customFormat="false" ht="49.5" hidden="false" customHeight="true" outlineLevel="0" collapsed="false">
      <c r="A18" s="49" t="s">
        <v>25</v>
      </c>
      <c r="B18" s="142" t="n">
        <v>1192</v>
      </c>
      <c r="C18" s="143"/>
      <c r="D18" s="143" t="n">
        <v>1159</v>
      </c>
      <c r="E18" s="143" t="n">
        <v>25</v>
      </c>
      <c r="F18" s="144" t="n">
        <v>16</v>
      </c>
      <c r="G18" s="145" t="n">
        <v>1118</v>
      </c>
      <c r="H18" s="53" t="n">
        <v>439</v>
      </c>
      <c r="I18" s="146"/>
      <c r="J18" s="50" t="n">
        <v>330</v>
      </c>
      <c r="K18" s="146"/>
      <c r="L18" s="50" t="n">
        <v>218</v>
      </c>
      <c r="M18" s="146"/>
      <c r="N18" s="50" t="n">
        <v>128</v>
      </c>
      <c r="O18" s="147"/>
    </row>
    <row r="19" customFormat="false" ht="49.5" hidden="false" customHeight="true" outlineLevel="0" collapsed="false">
      <c r="A19" s="148" t="s">
        <v>53</v>
      </c>
      <c r="B19" s="149" t="n">
        <f aca="false">SUM(B6:B18)</f>
        <v>15500</v>
      </c>
      <c r="C19" s="150" t="n">
        <f aca="false">SUM(C6:C18)</f>
        <v>0</v>
      </c>
      <c r="D19" s="150" t="n">
        <f aca="false">SUM(D6:D18)</f>
        <v>15075</v>
      </c>
      <c r="E19" s="150" t="n">
        <f aca="false">SUM(E6:E18)</f>
        <v>333</v>
      </c>
      <c r="F19" s="151" t="n">
        <f aca="false">SUM(F6:F18)</f>
        <v>217</v>
      </c>
      <c r="G19" s="152" t="n">
        <f aca="false">SUM(G6:G18)</f>
        <v>14525</v>
      </c>
      <c r="H19" s="153" t="n">
        <f aca="false">SUM(H6:H18)</f>
        <v>5719</v>
      </c>
      <c r="I19" s="154" t="n">
        <f aca="false">IFERROR(H19/$G$19,"—")</f>
        <v>0.393734939759036</v>
      </c>
      <c r="J19" s="150" t="n">
        <f aca="false">SUM(J6:J18)</f>
        <v>4299</v>
      </c>
      <c r="K19" s="154" t="n">
        <f aca="false">IFERROR(J19/$G$19,"—")</f>
        <v>0.295972461273666</v>
      </c>
      <c r="L19" s="150" t="n">
        <f aca="false">SUM(L6:L18)</f>
        <v>2844</v>
      </c>
      <c r="M19" s="154" t="n">
        <f aca="false">IFERROR(L19/$G$19,"—")</f>
        <v>0.195800344234079</v>
      </c>
      <c r="N19" s="150" t="n">
        <f aca="false">SUM(N6:N18)</f>
        <v>1664</v>
      </c>
      <c r="O19" s="155" t="n">
        <f aca="false">IFERROR(N19/$G$19,"—")</f>
        <v>0.114561101549053</v>
      </c>
    </row>
  </sheetData>
  <mergeCells count="9">
    <mergeCell ref="B2:G2"/>
    <mergeCell ref="H4:I4"/>
    <mergeCell ref="J4:K4"/>
    <mergeCell ref="L4:M4"/>
    <mergeCell ref="N4:O4"/>
    <mergeCell ref="H5:I5"/>
    <mergeCell ref="J5:K5"/>
    <mergeCell ref="L5:M5"/>
    <mergeCell ref="N5:O5"/>
  </mergeCells>
  <printOptions headings="false" gridLines="false" gridLinesSet="true" horizontalCentered="true" verticalCentered="true"/>
  <pageMargins left="0.39375" right="0.708333333333333" top="0.354166666666667" bottom="0.354166666666667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2009-09-22T11:43:19Z</dcterms:created>
  <dc:creator>ppoirier</dc:creator>
  <dc:description/>
  <dc:language>en-US</dc:language>
  <cp:lastModifiedBy>Guyniole</cp:lastModifiedBy>
  <cp:lastPrinted>2025-10-27T10:23:06Z</cp:lastPrinted>
  <dcterms:modified xsi:type="dcterms:W3CDTF">2026-02-19T20:55:18Z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